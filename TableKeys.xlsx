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oortmansteelgroup-my.sharepoint.com/personal/herbert_nijkamp_voortman_net/Documents/"/>
    </mc:Choice>
  </mc:AlternateContent>
  <xr:revisionPtr revIDLastSave="0" documentId="8_{C21FE730-0661-4F9A-AB56-BA7C9D323F5F}" xr6:coauthVersionLast="47" xr6:coauthVersionMax="47" xr10:uidLastSave="{00000000-0000-0000-0000-000000000000}"/>
  <bookViews>
    <workbookView xWindow="-120" yWindow="-120" windowWidth="51840" windowHeight="21120" xr2:uid="{1AB31F67-D73E-4F17-B304-1D118CA3FBCF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40" i="1" l="1"/>
  <c r="AF40" i="1"/>
  <c r="AE40" i="1"/>
  <c r="AD40" i="1"/>
  <c r="AC40" i="1"/>
  <c r="AB40" i="1"/>
  <c r="AG39" i="1"/>
  <c r="AF39" i="1"/>
  <c r="AE39" i="1"/>
  <c r="AD39" i="1"/>
  <c r="AC39" i="1"/>
  <c r="AB39" i="1"/>
  <c r="AG38" i="1"/>
  <c r="AF38" i="1"/>
  <c r="AE38" i="1"/>
  <c r="AD38" i="1"/>
  <c r="AC38" i="1"/>
  <c r="AB38" i="1"/>
  <c r="AG37" i="1"/>
  <c r="AF37" i="1"/>
  <c r="AE37" i="1"/>
  <c r="AD37" i="1"/>
  <c r="AC37" i="1"/>
  <c r="AB37" i="1"/>
  <c r="AG36" i="1"/>
  <c r="AF36" i="1"/>
  <c r="AE36" i="1"/>
  <c r="AD36" i="1"/>
  <c r="AC36" i="1"/>
  <c r="AB36" i="1"/>
  <c r="AG35" i="1"/>
  <c r="AF35" i="1"/>
  <c r="AE35" i="1"/>
  <c r="AD35" i="1"/>
  <c r="AC35" i="1"/>
  <c r="AB35" i="1"/>
  <c r="AG34" i="1"/>
  <c r="AF34" i="1"/>
  <c r="AE34" i="1"/>
  <c r="AD34" i="1"/>
  <c r="AC34" i="1"/>
  <c r="AB34" i="1"/>
  <c r="AG33" i="1"/>
  <c r="AF33" i="1"/>
  <c r="AE33" i="1"/>
  <c r="AD33" i="1"/>
  <c r="AC33" i="1"/>
  <c r="AB33" i="1"/>
  <c r="AG32" i="1"/>
  <c r="AF32" i="1"/>
  <c r="AE32" i="1"/>
  <c r="AD32" i="1"/>
  <c r="AC32" i="1"/>
  <c r="AB32" i="1"/>
  <c r="AG31" i="1"/>
  <c r="AF31" i="1"/>
  <c r="AE31" i="1"/>
  <c r="AD31" i="1"/>
  <c r="AC31" i="1"/>
  <c r="AB31" i="1"/>
  <c r="AG30" i="1"/>
  <c r="AF30" i="1"/>
  <c r="AE30" i="1"/>
  <c r="AD30" i="1"/>
  <c r="AC30" i="1"/>
  <c r="AB30" i="1"/>
  <c r="AG29" i="1"/>
  <c r="AF29" i="1"/>
  <c r="AE29" i="1"/>
  <c r="AD29" i="1"/>
  <c r="AC29" i="1"/>
  <c r="AB29" i="1"/>
  <c r="AG28" i="1"/>
  <c r="AF28" i="1"/>
  <c r="AE28" i="1"/>
  <c r="AD28" i="1"/>
  <c r="AC28" i="1"/>
  <c r="AB28" i="1"/>
  <c r="AG27" i="1"/>
  <c r="AF27" i="1"/>
  <c r="AE27" i="1"/>
  <c r="AD27" i="1"/>
  <c r="AC27" i="1"/>
  <c r="AB27" i="1"/>
  <c r="AG26" i="1"/>
  <c r="AF26" i="1"/>
  <c r="AE26" i="1"/>
  <c r="AD26" i="1"/>
  <c r="AC26" i="1"/>
  <c r="AB26" i="1"/>
  <c r="AG25" i="1"/>
  <c r="AF25" i="1"/>
  <c r="AE25" i="1"/>
  <c r="AD25" i="1"/>
  <c r="AC25" i="1"/>
  <c r="AB25" i="1"/>
  <c r="AG24" i="1"/>
  <c r="AF24" i="1"/>
  <c r="AE24" i="1"/>
  <c r="AD24" i="1"/>
  <c r="AC24" i="1"/>
  <c r="AB24" i="1"/>
  <c r="AG23" i="1"/>
  <c r="AF23" i="1"/>
  <c r="AE23" i="1"/>
  <c r="AD23" i="1"/>
  <c r="AC23" i="1"/>
  <c r="AB23" i="1"/>
  <c r="Y34" i="1"/>
  <c r="T34" i="1"/>
  <c r="O34" i="1"/>
  <c r="AG22" i="1"/>
  <c r="AF22" i="1"/>
  <c r="AE22" i="1"/>
  <c r="AD22" i="1"/>
  <c r="AC22" i="1"/>
  <c r="AE21" i="1"/>
  <c r="AF21" i="1"/>
  <c r="AG21" i="1"/>
  <c r="AC21" i="1"/>
  <c r="AD21" i="1"/>
  <c r="AG20" i="1"/>
  <c r="AF20" i="1"/>
  <c r="AE20" i="1"/>
  <c r="AD20" i="1"/>
  <c r="AC20" i="1"/>
  <c r="AG19" i="1"/>
  <c r="AF19" i="1"/>
  <c r="AE19" i="1"/>
  <c r="AD19" i="1"/>
  <c r="AC19" i="1"/>
  <c r="AG18" i="1"/>
  <c r="AF18" i="1"/>
  <c r="AE18" i="1"/>
  <c r="AD18" i="1"/>
  <c r="AC18" i="1"/>
  <c r="AG17" i="1"/>
  <c r="AF17" i="1"/>
  <c r="AD17" i="1"/>
  <c r="AC17" i="1"/>
  <c r="AE17" i="1"/>
  <c r="AG16" i="1"/>
  <c r="AF16" i="1"/>
  <c r="AE16" i="1"/>
  <c r="AD16" i="1"/>
  <c r="AC16" i="1"/>
  <c r="AG15" i="1"/>
  <c r="AF15" i="1"/>
  <c r="AE15" i="1"/>
  <c r="AD15" i="1"/>
  <c r="AC15" i="1"/>
  <c r="AG14" i="1"/>
  <c r="AF14" i="1"/>
  <c r="AE14" i="1"/>
  <c r="AD14" i="1"/>
  <c r="AC14" i="1"/>
  <c r="AG13" i="1"/>
  <c r="AD13" i="1"/>
  <c r="AF13" i="1"/>
  <c r="AC13" i="1"/>
  <c r="AE13" i="1"/>
  <c r="AG12" i="1"/>
  <c r="AF12" i="1"/>
  <c r="AE12" i="1"/>
  <c r="AD12" i="1"/>
  <c r="AC12" i="1"/>
  <c r="AG11" i="1"/>
  <c r="AF11" i="1"/>
  <c r="AE11" i="1"/>
  <c r="AD11" i="1"/>
  <c r="AC11" i="1"/>
  <c r="AG10" i="1"/>
  <c r="AF10" i="1"/>
  <c r="AD10" i="1"/>
  <c r="AE10" i="1"/>
  <c r="AC10" i="1"/>
  <c r="AD7" i="1"/>
  <c r="AC7" i="1"/>
  <c r="AF6" i="1"/>
  <c r="AE6" i="1"/>
  <c r="AD6" i="1"/>
  <c r="AC6" i="1"/>
  <c r="AG9" i="1"/>
  <c r="AF9" i="1"/>
  <c r="AE9" i="1"/>
  <c r="AD9" i="1"/>
  <c r="AC9" i="1"/>
  <c r="AG8" i="1"/>
  <c r="AF8" i="1"/>
  <c r="AE8" i="1"/>
  <c r="AD8" i="1"/>
  <c r="AC8" i="1"/>
  <c r="AG7" i="1"/>
  <c r="AF7" i="1"/>
  <c r="AE7" i="1"/>
  <c r="AG6" i="1"/>
  <c r="AG5" i="1"/>
  <c r="AF5" i="1"/>
  <c r="AE5" i="1"/>
  <c r="AG4" i="1"/>
  <c r="AG3" i="1"/>
  <c r="AF4" i="1"/>
  <c r="AF3" i="1"/>
  <c r="AE4" i="1"/>
  <c r="AE3" i="1"/>
  <c r="AC5" i="1"/>
  <c r="AC4" i="1"/>
  <c r="AC3" i="1"/>
  <c r="AB22" i="1" l="1"/>
  <c r="AB21" i="1"/>
  <c r="AB20" i="1"/>
  <c r="AB19" i="1"/>
  <c r="AB18" i="1"/>
  <c r="AB17" i="1"/>
  <c r="AB16" i="1"/>
  <c r="AB15" i="1"/>
  <c r="AB14" i="1"/>
  <c r="AB13" i="1"/>
  <c r="AB12" i="1"/>
  <c r="AB11" i="1"/>
  <c r="T10" i="1" s="1"/>
  <c r="AB10" i="1"/>
  <c r="O10" i="1" s="1"/>
  <c r="AB8" i="1"/>
  <c r="AB9" i="1"/>
  <c r="AB6" i="1"/>
  <c r="E2" i="1" s="1"/>
  <c r="AB7" i="1"/>
  <c r="AD3" i="1"/>
  <c r="E34" i="1" l="1"/>
  <c r="J34" i="1"/>
  <c r="Y26" i="1"/>
  <c r="O26" i="1"/>
  <c r="T26" i="1"/>
  <c r="J26" i="1"/>
  <c r="Y18" i="1"/>
  <c r="E26" i="1"/>
  <c r="T18" i="1"/>
  <c r="J18" i="1"/>
  <c r="O18" i="1"/>
  <c r="Y10" i="1"/>
  <c r="E18" i="1"/>
  <c r="AB3" i="1"/>
  <c r="O2" i="1" s="1"/>
  <c r="AD4" i="1"/>
  <c r="AB4" i="1"/>
  <c r="T2" i="1" s="1"/>
  <c r="AD5" i="1"/>
  <c r="AB5" i="1" l="1"/>
  <c r="Y2" i="1" s="1"/>
  <c r="J10" i="1"/>
  <c r="J2" i="1" l="1"/>
  <c r="E10" i="1" l="1"/>
</calcChain>
</file>

<file path=xl/sharedStrings.xml><?xml version="1.0" encoding="utf-8"?>
<sst xmlns="http://schemas.openxmlformats.org/spreadsheetml/2006/main" count="297" uniqueCount="52">
  <si>
    <t>Country</t>
  </si>
  <si>
    <t>Id</t>
  </si>
  <si>
    <t>Currency</t>
  </si>
  <si>
    <t>DefaultCurrency_Id</t>
  </si>
  <si>
    <t>Name</t>
  </si>
  <si>
    <t>Key</t>
  </si>
  <si>
    <t>Table</t>
  </si>
  <si>
    <t>Field</t>
  </si>
  <si>
    <t>Primary</t>
  </si>
  <si>
    <t>Foreign</t>
  </si>
  <si>
    <t>Brand</t>
  </si>
  <si>
    <t>Linked</t>
  </si>
  <si>
    <t>Category</t>
  </si>
  <si>
    <t>ContactType</t>
  </si>
  <si>
    <t>Months</t>
  </si>
  <si>
    <t>Product</t>
  </si>
  <si>
    <t>Unit_Id</t>
  </si>
  <si>
    <t>Brand_Id</t>
  </si>
  <si>
    <t>Category_Id</t>
  </si>
  <si>
    <t>Storage_Id</t>
  </si>
  <si>
    <t>B4:Z8</t>
  </si>
  <si>
    <t>B12:Z16</t>
  </si>
  <si>
    <t>B20:Z24</t>
  </si>
  <si>
    <t>B28:Z32</t>
  </si>
  <si>
    <t>B36:Z40</t>
  </si>
  <si>
    <t>Storage</t>
  </si>
  <si>
    <t>Unit</t>
  </si>
  <si>
    <t>ProductSupplier</t>
  </si>
  <si>
    <t>Currency_Id</t>
  </si>
  <si>
    <t>Product_Id</t>
  </si>
  <si>
    <t>Supplier_Id</t>
  </si>
  <si>
    <t>Supplier</t>
  </si>
  <si>
    <t>ProductUsage</t>
  </si>
  <si>
    <t>Project</t>
  </si>
  <si>
    <t>Project_Id</t>
  </si>
  <si>
    <t>Settings</t>
  </si>
  <si>
    <t>Stock</t>
  </si>
  <si>
    <t>StockLog</t>
  </si>
  <si>
    <t>ProductUsage_Id</t>
  </si>
  <si>
    <t>SupplyOrder_Id</t>
  </si>
  <si>
    <t>SupplyOrederLine_Id</t>
  </si>
  <si>
    <t>SupplyOrder</t>
  </si>
  <si>
    <t>SuppyOrderLine</t>
  </si>
  <si>
    <t>Country_Id</t>
  </si>
  <si>
    <t>SupplierContact</t>
  </si>
  <si>
    <t>ContactType_Id</t>
  </si>
  <si>
    <t>Suppier</t>
  </si>
  <si>
    <t>SupplyOrderLine</t>
  </si>
  <si>
    <t>Time</t>
  </si>
  <si>
    <t>Worktype_Id</t>
  </si>
  <si>
    <t>Worktype</t>
  </si>
  <si>
    <t>Weekdays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</si>
</sst>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4"/>
      <color rgb="FF0070C0"/>
      <name val="Aptos Narrow"/>
      <family val="2"/>
      <scheme val="minor"/>
    </font>
    <font>
      <sz val="11"/>
      <color theme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thin">
        <color theme="0" tint="-0.14996795556505021"/>
      </right>
      <top/>
      <bottom style="thin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ck">
        <color auto="1"/>
      </top>
      <bottom style="thin">
        <color theme="0" tint="-0.24994659260841701"/>
      </bottom>
      <diagonal/>
    </border>
    <border>
      <left style="thin">
        <color theme="0" tint="-0.14996795556505021"/>
      </left>
      <right style="thick">
        <color auto="1"/>
      </right>
      <top style="thick">
        <color auto="1"/>
      </top>
      <bottom style="thin">
        <color theme="0" tint="-0.24994659260841701"/>
      </bottom>
      <diagonal/>
    </border>
    <border>
      <left style="thick">
        <color auto="1"/>
      </left>
      <right style="thin">
        <color theme="0" tint="-0.1499679555650502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6795556505021"/>
      </left>
      <right style="thick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auto="1"/>
      </left>
      <right style="thin">
        <color theme="0" tint="-0.14996795556505021"/>
      </right>
      <top style="thin">
        <color theme="0" tint="-0.24994659260841701"/>
      </top>
      <bottom style="thick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24994659260841701"/>
      </top>
      <bottom style="thick">
        <color auto="1"/>
      </bottom>
      <diagonal/>
    </border>
    <border>
      <left style="thin">
        <color theme="0" tint="-0.14996795556505021"/>
      </left>
      <right style="thick">
        <color auto="1"/>
      </right>
      <top style="thin">
        <color theme="0" tint="-0.24994659260841701"/>
      </top>
      <bottom style="thick">
        <color auto="1"/>
      </bottom>
      <diagonal/>
    </border>
    <border>
      <left style="thick">
        <color auto="1"/>
      </left>
      <right style="thin">
        <color theme="0" tint="-0.14996795556505021"/>
      </right>
      <top style="thin">
        <color theme="0" tint="-0.2499465926084170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24994659260841701"/>
      </top>
      <bottom/>
      <diagonal/>
    </border>
    <border>
      <left style="thin">
        <color theme="0" tint="-0.14996795556505021"/>
      </left>
      <right style="thick">
        <color auto="1"/>
      </right>
      <top style="thin">
        <color theme="0" tint="-0.2499465926084170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/>
    <xf numFmtId="0" fontId="0" fillId="0" borderId="2" xfId="0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3" fillId="0" borderId="0" xfId="0" applyFont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applyAlignment="1">
      <alignment horizontal="right"/>
    </xf>
    <xf numFmtId="0" fontId="0" fillId="0" borderId="0" xfId="0" applyFill="1" applyBorder="1"/>
    <xf numFmtId="0" fontId="4" fillId="0" borderId="7" xfId="0" applyFont="1" applyBorder="1"/>
    <xf numFmtId="0" fontId="4" fillId="0" borderId="8" xfId="0" applyFont="1" applyBorder="1"/>
    <xf numFmtId="0" fontId="4" fillId="0" borderId="13" xfId="0" applyFont="1" applyBorder="1"/>
    <xf numFmtId="0" fontId="4" fillId="0" borderId="14" xfId="0" applyFont="1" applyBorder="1"/>
    <xf numFmtId="0" fontId="4" fillId="0" borderId="10" xfId="0" applyFont="1" applyBorder="1"/>
    <xf numFmtId="0" fontId="4" fillId="0" borderId="11" xfId="0" applyFont="1" applyBorder="1"/>
  </cellXfs>
  <cellStyles count="1">
    <cellStyle name="Standaard" xfId="0" builtinId="0"/>
  </cellStyles>
  <dxfs count="2">
    <dxf>
      <font>
        <color theme="3" tint="9.9948118533890809E-2"/>
      </font>
    </dxf>
    <dxf>
      <font>
        <color theme="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5" Type="http://schemas.openxmlformats.org/officeDocument/2006/relationships/image" Target="../media/image2.png"/><Relationship Id="rId4" Type="http://schemas.openxmlformats.org/officeDocument/2006/relationships/customXml" Target="../ink/ink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209325</xdr:colOff>
      <xdr:row>12</xdr:row>
      <xdr:rowOff>123765</xdr:rowOff>
    </xdr:from>
    <xdr:to>
      <xdr:col>11</xdr:col>
      <xdr:colOff>209685</xdr:colOff>
      <xdr:row>12</xdr:row>
      <xdr:rowOff>124125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2" name="Inkt 21">
              <a:extLst>
                <a:ext uri="{FF2B5EF4-FFF2-40B4-BE49-F238E27FC236}">
                  <a16:creationId xmlns:a16="http://schemas.microsoft.com/office/drawing/2014/main" id="{C28D5F2F-14CE-09FC-182A-875D3EABDBF4}"/>
                </a:ext>
              </a:extLst>
            </xdr14:cNvPr>
            <xdr14:cNvContentPartPr/>
          </xdr14:nvContentPartPr>
          <xdr14:nvPr macro=""/>
          <xdr14:xfrm>
            <a:off x="9572400" y="2476440"/>
            <a:ext cx="360" cy="360"/>
          </xdr14:xfrm>
        </xdr:contentPart>
      </mc:Choice>
      <mc:Fallback>
        <xdr:pic>
          <xdr:nvPicPr>
            <xdr:cNvPr id="22" name="Inkt 21">
              <a:extLst>
                <a:ext uri="{FF2B5EF4-FFF2-40B4-BE49-F238E27FC236}">
                  <a16:creationId xmlns:a16="http://schemas.microsoft.com/office/drawing/2014/main" id="{C28D5F2F-14CE-09FC-182A-875D3EABDBF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563760" y="246744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237645</xdr:colOff>
      <xdr:row>15</xdr:row>
      <xdr:rowOff>56985</xdr:rowOff>
    </xdr:from>
    <xdr:to>
      <xdr:col>9</xdr:col>
      <xdr:colOff>238005</xdr:colOff>
      <xdr:row>15</xdr:row>
      <xdr:rowOff>57345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23" name="Inkt 22">
              <a:extLst>
                <a:ext uri="{FF2B5EF4-FFF2-40B4-BE49-F238E27FC236}">
                  <a16:creationId xmlns:a16="http://schemas.microsoft.com/office/drawing/2014/main" id="{21EFCDE7-5028-33E3-D889-5B154AD256E9}"/>
                </a:ext>
              </a:extLst>
            </xdr14:cNvPr>
            <xdr14:cNvContentPartPr/>
          </xdr14:nvContentPartPr>
          <xdr14:nvPr macro=""/>
          <xdr14:xfrm>
            <a:off x="8381520" y="2981160"/>
            <a:ext cx="360" cy="360"/>
          </xdr14:xfrm>
        </xdr:contentPart>
      </mc:Choice>
      <mc:Fallback>
        <xdr:pic>
          <xdr:nvPicPr>
            <xdr:cNvPr id="23" name="Inkt 22">
              <a:extLst>
                <a:ext uri="{FF2B5EF4-FFF2-40B4-BE49-F238E27FC236}">
                  <a16:creationId xmlns:a16="http://schemas.microsoft.com/office/drawing/2014/main" id="{21EFCDE7-5028-33E3-D889-5B154AD25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8372880" y="29721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1123770</xdr:colOff>
      <xdr:row>5</xdr:row>
      <xdr:rowOff>180720</xdr:rowOff>
    </xdr:from>
    <xdr:to>
      <xdr:col>8</xdr:col>
      <xdr:colOff>1124130</xdr:colOff>
      <xdr:row>5</xdr:row>
      <xdr:rowOff>181080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">
          <xdr14:nvContentPartPr>
            <xdr14:cNvPr id="32" name="Inkt 31">
              <a:extLst>
                <a:ext uri="{FF2B5EF4-FFF2-40B4-BE49-F238E27FC236}">
                  <a16:creationId xmlns:a16="http://schemas.microsoft.com/office/drawing/2014/main" id="{1A4E158A-71F8-F466-3CE9-52FF55B4FD4C}"/>
                </a:ext>
              </a:extLst>
            </xdr14:cNvPr>
            <xdr14:cNvContentPartPr/>
          </xdr14:nvContentPartPr>
          <xdr14:nvPr macro=""/>
          <xdr14:xfrm>
            <a:off x="7886520" y="1095120"/>
            <a:ext cx="360" cy="360"/>
          </xdr14:xfrm>
        </xdr:contentPart>
      </mc:Choice>
      <mc:Fallback>
        <xdr:pic>
          <xdr:nvPicPr>
            <xdr:cNvPr id="32" name="Inkt 31">
              <a:extLst>
                <a:ext uri="{FF2B5EF4-FFF2-40B4-BE49-F238E27FC236}">
                  <a16:creationId xmlns:a16="http://schemas.microsoft.com/office/drawing/2014/main" id="{1A4E158A-71F8-F466-3CE9-52FF55B4FD4C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877880" y="10861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12T10:13:15.892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1 0 24575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12T10:13:21.223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1 0 24575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12T10:18:23.15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</inkml:trace>
</inkml:ink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D414B-63C2-4E8B-A3BC-EF4759572725}">
  <dimension ref="B1:AG41"/>
  <sheetViews>
    <sheetView showGridLines="0" tabSelected="1" zoomScaleNormal="100" workbookViewId="0">
      <selection activeCell="D7" sqref="D4:D7"/>
    </sheetView>
  </sheetViews>
  <sheetFormatPr defaultRowHeight="15" x14ac:dyDescent="0.25"/>
  <cols>
    <col min="1" max="1" width="1.85546875" customWidth="1"/>
    <col min="2" max="2" width="21.140625" customWidth="1"/>
    <col min="4" max="4" width="20.7109375" customWidth="1"/>
    <col min="7" max="7" width="21.140625" customWidth="1"/>
    <col min="9" max="9" width="20.7109375" customWidth="1"/>
    <col min="12" max="12" width="21.140625" customWidth="1"/>
    <col min="14" max="14" width="20.7109375" customWidth="1"/>
    <col min="17" max="17" width="21.140625" customWidth="1"/>
    <col min="19" max="19" width="20.7109375" customWidth="1"/>
    <col min="22" max="22" width="21.140625" customWidth="1"/>
    <col min="24" max="24" width="20.7109375" customWidth="1"/>
    <col min="27" max="27" width="15.28515625" bestFit="1" customWidth="1"/>
  </cols>
  <sheetData>
    <row r="1" spans="2:33" ht="6" customHeight="1" thickBot="1" x14ac:dyDescent="0.3"/>
    <row r="2" spans="2:33" ht="20.25" thickTop="1" thickBot="1" x14ac:dyDescent="0.3">
      <c r="B2" s="1" t="s">
        <v>0</v>
      </c>
      <c r="C2" s="2"/>
      <c r="E2" s="12">
        <f ca="1">LOOKUP(B2,$AA$3:$AB$28)</f>
        <v>1</v>
      </c>
      <c r="G2" s="1" t="s">
        <v>2</v>
      </c>
      <c r="H2" s="2"/>
      <c r="J2" s="12">
        <f ca="1">LOOKUP(G2,$AA$3:$AB$28)</f>
        <v>4</v>
      </c>
      <c r="L2" s="1" t="s">
        <v>10</v>
      </c>
      <c r="M2" s="2"/>
      <c r="O2" s="12">
        <f ca="1">LOOKUP(L2,$AA$3:$AB$28)</f>
        <v>1</v>
      </c>
      <c r="Q2" s="1" t="s">
        <v>12</v>
      </c>
      <c r="R2" s="2"/>
      <c r="T2" s="12">
        <f ca="1">LOOKUP(Q2,$AA$3:$AB$28)</f>
        <v>1</v>
      </c>
      <c r="V2" s="1" t="s">
        <v>13</v>
      </c>
      <c r="W2" s="2"/>
      <c r="Y2" s="12">
        <f ca="1">LOOKUP(V2,$AA$3:$AB$28)</f>
        <v>1</v>
      </c>
      <c r="AA2" t="s">
        <v>6</v>
      </c>
      <c r="AB2" t="s">
        <v>11</v>
      </c>
      <c r="AC2" s="16" t="s">
        <v>20</v>
      </c>
      <c r="AD2" s="16" t="s">
        <v>21</v>
      </c>
      <c r="AE2" s="16" t="s">
        <v>22</v>
      </c>
      <c r="AF2" s="16" t="s">
        <v>23</v>
      </c>
      <c r="AG2" s="16" t="s">
        <v>24</v>
      </c>
    </row>
    <row r="3" spans="2:33" ht="15.75" thickTop="1" x14ac:dyDescent="0.25">
      <c r="B3" s="3" t="s">
        <v>4</v>
      </c>
      <c r="C3" s="4" t="s">
        <v>5</v>
      </c>
      <c r="D3" s="4" t="s">
        <v>6</v>
      </c>
      <c r="E3" s="5" t="s">
        <v>7</v>
      </c>
      <c r="G3" s="3" t="s">
        <v>4</v>
      </c>
      <c r="H3" s="4" t="s">
        <v>5</v>
      </c>
      <c r="I3" s="4" t="s">
        <v>6</v>
      </c>
      <c r="J3" s="5" t="s">
        <v>7</v>
      </c>
      <c r="L3" s="3" t="s">
        <v>4</v>
      </c>
      <c r="M3" s="4" t="s">
        <v>5</v>
      </c>
      <c r="N3" s="4" t="s">
        <v>6</v>
      </c>
      <c r="O3" s="5" t="s">
        <v>7</v>
      </c>
      <c r="Q3" s="3" t="s">
        <v>4</v>
      </c>
      <c r="R3" s="4" t="s">
        <v>5</v>
      </c>
      <c r="S3" s="4" t="s">
        <v>6</v>
      </c>
      <c r="T3" s="5" t="s">
        <v>7</v>
      </c>
      <c r="V3" s="3" t="s">
        <v>4</v>
      </c>
      <c r="W3" s="4" t="s">
        <v>5</v>
      </c>
      <c r="X3" s="4" t="s">
        <v>6</v>
      </c>
      <c r="Y3" s="5" t="s">
        <v>7</v>
      </c>
      <c r="AA3" t="s">
        <v>10</v>
      </c>
      <c r="AB3">
        <f ca="1">IF($AA3="","",SUM(AC3:AG3))</f>
        <v>1</v>
      </c>
      <c r="AC3">
        <f ca="1">IF($AA3="","",COUNTIFS(INDIRECT(AC$2),$AA3))</f>
        <v>0</v>
      </c>
      <c r="AD3">
        <f ca="1">IF($AA3="","",COUNTIFS(INDIRECT(AD$2),$AA3))</f>
        <v>1</v>
      </c>
      <c r="AE3">
        <f ca="1">IF($AA3="","",COUNTIFS(INDIRECT(AE$2),$AA3))</f>
        <v>0</v>
      </c>
      <c r="AF3">
        <f ca="1">IF($AA3="","",COUNTIFS(INDIRECT(AF$2),$AA3))</f>
        <v>0</v>
      </c>
      <c r="AG3">
        <f ca="1">IF($AA3="","",COUNTIFS(INDIRECT(AG$2),$AA3))</f>
        <v>0</v>
      </c>
    </row>
    <row r="4" spans="2:33" x14ac:dyDescent="0.25">
      <c r="B4" s="6" t="s">
        <v>1</v>
      </c>
      <c r="C4" s="7" t="s">
        <v>8</v>
      </c>
      <c r="D4" s="7"/>
      <c r="E4" s="8"/>
      <c r="G4" s="6" t="s">
        <v>1</v>
      </c>
      <c r="H4" s="7" t="s">
        <v>8</v>
      </c>
      <c r="I4" s="7"/>
      <c r="J4" s="8"/>
      <c r="L4" s="6" t="s">
        <v>1</v>
      </c>
      <c r="M4" s="7" t="s">
        <v>8</v>
      </c>
      <c r="N4" s="7"/>
      <c r="O4" s="8"/>
      <c r="Q4" s="6" t="s">
        <v>1</v>
      </c>
      <c r="R4" s="7" t="s">
        <v>8</v>
      </c>
      <c r="S4" s="7"/>
      <c r="T4" s="8"/>
      <c r="V4" s="6" t="s">
        <v>1</v>
      </c>
      <c r="W4" s="7" t="s">
        <v>8</v>
      </c>
      <c r="X4" s="7"/>
      <c r="Y4" s="8"/>
      <c r="AA4" t="s">
        <v>12</v>
      </c>
      <c r="AB4">
        <f t="shared" ref="AB4:AB40" ca="1" si="0">IF($AA4="","",SUM(AC4:AG4))</f>
        <v>1</v>
      </c>
      <c r="AC4">
        <f t="shared" ref="AC4:AG40" ca="1" si="1">IF($AA4="","",COUNTIFS(INDIRECT(AC$2),$AA4))</f>
        <v>0</v>
      </c>
      <c r="AD4">
        <f t="shared" ca="1" si="1"/>
        <v>1</v>
      </c>
      <c r="AE4">
        <f t="shared" ca="1" si="1"/>
        <v>0</v>
      </c>
      <c r="AF4">
        <f t="shared" ca="1" si="1"/>
        <v>0</v>
      </c>
      <c r="AG4">
        <f t="shared" ca="1" si="1"/>
        <v>0</v>
      </c>
    </row>
    <row r="5" spans="2:33" x14ac:dyDescent="0.25">
      <c r="B5" s="6" t="s">
        <v>3</v>
      </c>
      <c r="C5" s="7" t="s">
        <v>9</v>
      </c>
      <c r="D5" s="18" t="s">
        <v>2</v>
      </c>
      <c r="E5" s="19" t="s">
        <v>1</v>
      </c>
      <c r="G5" s="6"/>
      <c r="H5" s="7"/>
      <c r="I5" s="7"/>
      <c r="J5" s="8"/>
      <c r="L5" s="6"/>
      <c r="M5" s="7"/>
      <c r="N5" s="7"/>
      <c r="O5" s="8"/>
      <c r="Q5" s="6"/>
      <c r="R5" s="7"/>
      <c r="S5" s="7"/>
      <c r="T5" s="8"/>
      <c r="V5" s="6"/>
      <c r="W5" s="7"/>
      <c r="X5" s="7"/>
      <c r="Y5" s="8"/>
      <c r="AA5" t="s">
        <v>13</v>
      </c>
      <c r="AB5">
        <f t="shared" ca="1" si="0"/>
        <v>1</v>
      </c>
      <c r="AC5">
        <f t="shared" ca="1" si="1"/>
        <v>0</v>
      </c>
      <c r="AD5">
        <f t="shared" ca="1" si="1"/>
        <v>0</v>
      </c>
      <c r="AE5">
        <f t="shared" ca="1" si="1"/>
        <v>0</v>
      </c>
      <c r="AF5">
        <f t="shared" ca="1" si="1"/>
        <v>1</v>
      </c>
      <c r="AG5">
        <f t="shared" ca="1" si="1"/>
        <v>0</v>
      </c>
    </row>
    <row r="6" spans="2:33" x14ac:dyDescent="0.25">
      <c r="B6" s="6"/>
      <c r="C6" s="7"/>
      <c r="D6" s="7"/>
      <c r="E6" s="8"/>
      <c r="G6" s="6"/>
      <c r="H6" s="7"/>
      <c r="I6" s="7"/>
      <c r="J6" s="8"/>
      <c r="L6" s="6"/>
      <c r="M6" s="7"/>
      <c r="N6" s="7"/>
      <c r="O6" s="8"/>
      <c r="Q6" s="6"/>
      <c r="R6" s="7"/>
      <c r="S6" s="7"/>
      <c r="T6" s="8"/>
      <c r="V6" s="6"/>
      <c r="W6" s="7"/>
      <c r="X6" s="7"/>
      <c r="Y6" s="8"/>
      <c r="AA6" t="s">
        <v>0</v>
      </c>
      <c r="AB6">
        <f t="shared" ref="AB6:AB40" ca="1" si="2">IF($AA6="","",SUM(AC6:AG6))</f>
        <v>1</v>
      </c>
      <c r="AC6">
        <f t="shared" ca="1" si="1"/>
        <v>0</v>
      </c>
      <c r="AD6">
        <f t="shared" ca="1" si="1"/>
        <v>0</v>
      </c>
      <c r="AE6">
        <f t="shared" ca="1" si="1"/>
        <v>1</v>
      </c>
      <c r="AF6">
        <f t="shared" ca="1" si="1"/>
        <v>0</v>
      </c>
      <c r="AG6">
        <f t="shared" ca="1" si="1"/>
        <v>0</v>
      </c>
    </row>
    <row r="7" spans="2:33" x14ac:dyDescent="0.25">
      <c r="B7" s="6"/>
      <c r="C7" s="7"/>
      <c r="D7" s="7"/>
      <c r="E7" s="8"/>
      <c r="G7" s="6"/>
      <c r="H7" s="7"/>
      <c r="I7" s="7"/>
      <c r="J7" s="8"/>
      <c r="L7" s="6"/>
      <c r="M7" s="7"/>
      <c r="N7" s="7"/>
      <c r="O7" s="8"/>
      <c r="Q7" s="6"/>
      <c r="R7" s="7"/>
      <c r="S7" s="7"/>
      <c r="T7" s="8"/>
      <c r="V7" s="6"/>
      <c r="W7" s="7"/>
      <c r="X7" s="7"/>
      <c r="Y7" s="8"/>
      <c r="AA7" t="s">
        <v>2</v>
      </c>
      <c r="AB7">
        <f t="shared" ca="1" si="2"/>
        <v>4</v>
      </c>
      <c r="AC7">
        <f t="shared" ca="1" si="1"/>
        <v>1</v>
      </c>
      <c r="AD7">
        <f t="shared" ca="1" si="1"/>
        <v>1</v>
      </c>
      <c r="AE7">
        <f t="shared" ca="1" si="1"/>
        <v>1</v>
      </c>
      <c r="AF7">
        <f t="shared" ca="1" si="1"/>
        <v>1</v>
      </c>
      <c r="AG7">
        <f t="shared" ca="1" si="1"/>
        <v>0</v>
      </c>
    </row>
    <row r="8" spans="2:33" ht="15.75" thickBot="1" x14ac:dyDescent="0.3">
      <c r="B8" s="9"/>
      <c r="C8" s="10"/>
      <c r="D8" s="10"/>
      <c r="E8" s="11"/>
      <c r="G8" s="9"/>
      <c r="H8" s="10"/>
      <c r="I8" s="10"/>
      <c r="J8" s="11"/>
      <c r="L8" s="9"/>
      <c r="M8" s="10"/>
      <c r="N8" s="10"/>
      <c r="O8" s="11"/>
      <c r="Q8" s="9"/>
      <c r="R8" s="10"/>
      <c r="S8" s="10"/>
      <c r="T8" s="11"/>
      <c r="V8" s="9"/>
      <c r="W8" s="10"/>
      <c r="X8" s="10"/>
      <c r="Y8" s="11"/>
      <c r="AA8" t="s">
        <v>14</v>
      </c>
      <c r="AB8">
        <f t="shared" ca="1" si="2"/>
        <v>0</v>
      </c>
      <c r="AC8">
        <f t="shared" ca="1" si="1"/>
        <v>0</v>
      </c>
      <c r="AD8">
        <f t="shared" ca="1" si="1"/>
        <v>0</v>
      </c>
      <c r="AE8">
        <f t="shared" ca="1" si="1"/>
        <v>0</v>
      </c>
      <c r="AF8">
        <f t="shared" ca="1" si="1"/>
        <v>0</v>
      </c>
      <c r="AG8">
        <f t="shared" ca="1" si="1"/>
        <v>0</v>
      </c>
    </row>
    <row r="9" spans="2:33" ht="16.5" thickTop="1" thickBot="1" x14ac:dyDescent="0.3">
      <c r="AA9" t="s">
        <v>15</v>
      </c>
      <c r="AB9">
        <f t="shared" ca="1" si="2"/>
        <v>5</v>
      </c>
      <c r="AC9">
        <f t="shared" ca="1" si="1"/>
        <v>0</v>
      </c>
      <c r="AD9">
        <f t="shared" ca="1" si="1"/>
        <v>2</v>
      </c>
      <c r="AE9">
        <f t="shared" ca="1" si="1"/>
        <v>2</v>
      </c>
      <c r="AF9">
        <f t="shared" ca="1" si="1"/>
        <v>1</v>
      </c>
      <c r="AG9">
        <f t="shared" ca="1" si="1"/>
        <v>0</v>
      </c>
    </row>
    <row r="10" spans="2:33" ht="20.25" thickTop="1" thickBot="1" x14ac:dyDescent="0.3">
      <c r="B10" s="1" t="s">
        <v>14</v>
      </c>
      <c r="C10" s="2"/>
      <c r="E10" s="12">
        <f ca="1">LOOKUP(B10,$AA$3:$AB$28)</f>
        <v>0</v>
      </c>
      <c r="G10" s="1" t="s">
        <v>15</v>
      </c>
      <c r="H10" s="2"/>
      <c r="J10" s="12">
        <f ca="1">LOOKUP(G10,$AA$3:$AB$28)</f>
        <v>5</v>
      </c>
      <c r="L10" s="1" t="s">
        <v>27</v>
      </c>
      <c r="M10" s="2"/>
      <c r="O10" s="12">
        <f ca="1">LOOKUP(L10,$AA$3:$AB$28)</f>
        <v>0</v>
      </c>
      <c r="Q10" s="1" t="s">
        <v>32</v>
      </c>
      <c r="R10" s="2"/>
      <c r="T10" s="12">
        <f ca="1">LOOKUP(Q10,$AA$3:$AB$28)</f>
        <v>1</v>
      </c>
      <c r="V10" s="1" t="s">
        <v>33</v>
      </c>
      <c r="W10" s="2"/>
      <c r="Y10" s="12">
        <f ca="1">LOOKUP(V10,$AA$3:$AB$28)</f>
        <v>2</v>
      </c>
      <c r="AA10" t="s">
        <v>27</v>
      </c>
      <c r="AB10">
        <f t="shared" ca="1" si="2"/>
        <v>0</v>
      </c>
      <c r="AC10">
        <f t="shared" ca="1" si="1"/>
        <v>0</v>
      </c>
      <c r="AD10">
        <f t="shared" ca="1" si="1"/>
        <v>0</v>
      </c>
      <c r="AE10">
        <f t="shared" ca="1" si="1"/>
        <v>0</v>
      </c>
      <c r="AF10">
        <f t="shared" ca="1" si="1"/>
        <v>0</v>
      </c>
      <c r="AG10">
        <f t="shared" ca="1" si="1"/>
        <v>0</v>
      </c>
    </row>
    <row r="11" spans="2:33" ht="15.75" thickTop="1" x14ac:dyDescent="0.25">
      <c r="B11" s="3" t="s">
        <v>4</v>
      </c>
      <c r="C11" s="4" t="s">
        <v>5</v>
      </c>
      <c r="D11" s="4" t="s">
        <v>6</v>
      </c>
      <c r="E11" s="5" t="s">
        <v>7</v>
      </c>
      <c r="G11" s="3" t="s">
        <v>4</v>
      </c>
      <c r="H11" s="4" t="s">
        <v>5</v>
      </c>
      <c r="I11" s="4" t="s">
        <v>6</v>
      </c>
      <c r="J11" s="5" t="s">
        <v>7</v>
      </c>
      <c r="L11" s="3" t="s">
        <v>4</v>
      </c>
      <c r="M11" s="4" t="s">
        <v>5</v>
      </c>
      <c r="N11" s="4" t="s">
        <v>6</v>
      </c>
      <c r="O11" s="5" t="s">
        <v>7</v>
      </c>
      <c r="Q11" s="3" t="s">
        <v>4</v>
      </c>
      <c r="R11" s="4" t="s">
        <v>5</v>
      </c>
      <c r="S11" s="4" t="s">
        <v>6</v>
      </c>
      <c r="T11" s="5" t="s">
        <v>7</v>
      </c>
      <c r="V11" s="3" t="s">
        <v>4</v>
      </c>
      <c r="W11" s="4" t="s">
        <v>5</v>
      </c>
      <c r="X11" s="4" t="s">
        <v>6</v>
      </c>
      <c r="Y11" s="5" t="s">
        <v>7</v>
      </c>
      <c r="AA11" t="s">
        <v>32</v>
      </c>
      <c r="AB11">
        <f t="shared" ca="1" si="2"/>
        <v>1</v>
      </c>
      <c r="AC11">
        <f t="shared" ca="1" si="1"/>
        <v>0</v>
      </c>
      <c r="AD11">
        <f t="shared" ca="1" si="1"/>
        <v>0</v>
      </c>
      <c r="AE11">
        <f t="shared" ca="1" si="1"/>
        <v>1</v>
      </c>
      <c r="AF11">
        <f t="shared" ca="1" si="1"/>
        <v>0</v>
      </c>
      <c r="AG11">
        <f t="shared" ca="1" si="1"/>
        <v>0</v>
      </c>
    </row>
    <row r="12" spans="2:33" x14ac:dyDescent="0.25">
      <c r="B12" s="6" t="s">
        <v>1</v>
      </c>
      <c r="C12" s="7" t="s">
        <v>8</v>
      </c>
      <c r="D12" s="7"/>
      <c r="E12" s="8"/>
      <c r="G12" s="6" t="s">
        <v>1</v>
      </c>
      <c r="H12" s="7" t="s">
        <v>8</v>
      </c>
      <c r="I12" s="7"/>
      <c r="J12" s="8"/>
      <c r="L12" s="6" t="s">
        <v>1</v>
      </c>
      <c r="M12" s="7" t="s">
        <v>8</v>
      </c>
      <c r="N12" s="7"/>
      <c r="O12" s="8"/>
      <c r="Q12" s="6" t="s">
        <v>1</v>
      </c>
      <c r="R12" s="7" t="s">
        <v>8</v>
      </c>
      <c r="S12" s="7"/>
      <c r="T12" s="8"/>
      <c r="V12" s="6" t="s">
        <v>1</v>
      </c>
      <c r="W12" s="7" t="s">
        <v>8</v>
      </c>
      <c r="X12" s="7"/>
      <c r="Y12" s="8"/>
      <c r="AA12" t="s">
        <v>33</v>
      </c>
      <c r="AB12">
        <f t="shared" ca="1" si="2"/>
        <v>2</v>
      </c>
      <c r="AC12">
        <f t="shared" ca="1" si="1"/>
        <v>0</v>
      </c>
      <c r="AD12">
        <f t="shared" ca="1" si="1"/>
        <v>1</v>
      </c>
      <c r="AE12">
        <f t="shared" ca="1" si="1"/>
        <v>0</v>
      </c>
      <c r="AF12">
        <f t="shared" ca="1" si="1"/>
        <v>1</v>
      </c>
      <c r="AG12">
        <f t="shared" ca="1" si="1"/>
        <v>0</v>
      </c>
    </row>
    <row r="13" spans="2:33" x14ac:dyDescent="0.25">
      <c r="B13" s="6"/>
      <c r="C13" s="7"/>
      <c r="D13" s="7"/>
      <c r="E13" s="8"/>
      <c r="G13" s="6" t="s">
        <v>17</v>
      </c>
      <c r="H13" s="7" t="s">
        <v>9</v>
      </c>
      <c r="I13" s="18" t="s">
        <v>10</v>
      </c>
      <c r="J13" s="19" t="s">
        <v>1</v>
      </c>
      <c r="L13" s="6" t="s">
        <v>28</v>
      </c>
      <c r="M13" s="7" t="s">
        <v>9</v>
      </c>
      <c r="N13" s="18" t="s">
        <v>2</v>
      </c>
      <c r="O13" s="19" t="s">
        <v>1</v>
      </c>
      <c r="Q13" s="6" t="s">
        <v>29</v>
      </c>
      <c r="R13" s="7" t="s">
        <v>9</v>
      </c>
      <c r="S13" s="18" t="s">
        <v>15</v>
      </c>
      <c r="T13" s="19" t="s">
        <v>1</v>
      </c>
      <c r="V13" s="6"/>
      <c r="W13" s="7"/>
      <c r="X13" s="7"/>
      <c r="Y13" s="8"/>
      <c r="AA13" t="s">
        <v>35</v>
      </c>
      <c r="AB13">
        <f t="shared" ca="1" si="2"/>
        <v>0</v>
      </c>
      <c r="AC13">
        <f t="shared" ca="1" si="1"/>
        <v>0</v>
      </c>
      <c r="AD13">
        <f t="shared" ca="1" si="1"/>
        <v>0</v>
      </c>
      <c r="AE13">
        <f t="shared" ca="1" si="1"/>
        <v>0</v>
      </c>
      <c r="AF13">
        <f t="shared" ca="1" si="1"/>
        <v>0</v>
      </c>
      <c r="AG13">
        <f t="shared" ca="1" si="1"/>
        <v>0</v>
      </c>
    </row>
    <row r="14" spans="2:33" x14ac:dyDescent="0.25">
      <c r="B14" s="6"/>
      <c r="C14" s="7"/>
      <c r="D14" s="7"/>
      <c r="E14" s="8"/>
      <c r="G14" s="6" t="s">
        <v>18</v>
      </c>
      <c r="H14" s="7" t="s">
        <v>9</v>
      </c>
      <c r="I14" s="18" t="s">
        <v>12</v>
      </c>
      <c r="J14" s="19" t="s">
        <v>1</v>
      </c>
      <c r="L14" s="6" t="s">
        <v>29</v>
      </c>
      <c r="M14" s="7" t="s">
        <v>9</v>
      </c>
      <c r="N14" s="18" t="s">
        <v>15</v>
      </c>
      <c r="O14" s="19" t="s">
        <v>1</v>
      </c>
      <c r="Q14" s="6" t="s">
        <v>34</v>
      </c>
      <c r="R14" s="7" t="s">
        <v>9</v>
      </c>
      <c r="S14" s="18" t="s">
        <v>33</v>
      </c>
      <c r="T14" s="19" t="s">
        <v>1</v>
      </c>
      <c r="V14" s="6"/>
      <c r="W14" s="7"/>
      <c r="X14" s="7"/>
      <c r="Y14" s="8"/>
      <c r="AA14" t="s">
        <v>36</v>
      </c>
      <c r="AB14">
        <f t="shared" ca="1" si="2"/>
        <v>0</v>
      </c>
      <c r="AC14">
        <f t="shared" ca="1" si="1"/>
        <v>0</v>
      </c>
      <c r="AD14">
        <f t="shared" ca="1" si="1"/>
        <v>0</v>
      </c>
      <c r="AE14">
        <f t="shared" ca="1" si="1"/>
        <v>0</v>
      </c>
      <c r="AF14">
        <f t="shared" ca="1" si="1"/>
        <v>0</v>
      </c>
      <c r="AG14">
        <f t="shared" ca="1" si="1"/>
        <v>0</v>
      </c>
    </row>
    <row r="15" spans="2:33" x14ac:dyDescent="0.25">
      <c r="B15" s="13"/>
      <c r="C15" s="14"/>
      <c r="D15" s="14"/>
      <c r="E15" s="15"/>
      <c r="G15" s="13" t="s">
        <v>19</v>
      </c>
      <c r="H15" s="14" t="s">
        <v>9</v>
      </c>
      <c r="I15" s="20" t="s">
        <v>25</v>
      </c>
      <c r="J15" s="21" t="s">
        <v>1</v>
      </c>
      <c r="L15" s="13" t="s">
        <v>30</v>
      </c>
      <c r="M15" s="14" t="s">
        <v>9</v>
      </c>
      <c r="N15" s="20" t="s">
        <v>31</v>
      </c>
      <c r="O15" s="21" t="s">
        <v>1</v>
      </c>
      <c r="Q15" s="13"/>
      <c r="R15" s="14"/>
      <c r="S15" s="14"/>
      <c r="T15" s="15"/>
      <c r="V15" s="13"/>
      <c r="W15" s="14"/>
      <c r="X15" s="14"/>
      <c r="Y15" s="15"/>
      <c r="AA15" t="s">
        <v>37</v>
      </c>
      <c r="AB15">
        <f t="shared" ca="1" si="2"/>
        <v>0</v>
      </c>
      <c r="AC15">
        <f t="shared" ca="1" si="1"/>
        <v>0</v>
      </c>
      <c r="AD15">
        <f t="shared" ca="1" si="1"/>
        <v>0</v>
      </c>
      <c r="AE15">
        <f t="shared" ca="1" si="1"/>
        <v>0</v>
      </c>
      <c r="AF15">
        <f t="shared" ca="1" si="1"/>
        <v>0</v>
      </c>
      <c r="AG15">
        <f t="shared" ca="1" si="1"/>
        <v>0</v>
      </c>
    </row>
    <row r="16" spans="2:33" ht="15.75" thickBot="1" x14ac:dyDescent="0.3">
      <c r="B16" s="9"/>
      <c r="C16" s="10"/>
      <c r="D16" s="10"/>
      <c r="E16" s="11"/>
      <c r="G16" s="9" t="s">
        <v>16</v>
      </c>
      <c r="H16" s="10" t="s">
        <v>9</v>
      </c>
      <c r="I16" s="22" t="s">
        <v>26</v>
      </c>
      <c r="J16" s="23" t="s">
        <v>1</v>
      </c>
      <c r="L16" s="9"/>
      <c r="M16" s="10"/>
      <c r="N16" s="10"/>
      <c r="O16" s="11"/>
      <c r="Q16" s="9"/>
      <c r="R16" s="10"/>
      <c r="S16" s="10"/>
      <c r="T16" s="11"/>
      <c r="V16" s="9"/>
      <c r="W16" s="10"/>
      <c r="X16" s="10"/>
      <c r="Y16" s="11"/>
      <c r="AA16" t="s">
        <v>25</v>
      </c>
      <c r="AB16">
        <f t="shared" ca="1" si="2"/>
        <v>1</v>
      </c>
      <c r="AC16">
        <f t="shared" ca="1" si="1"/>
        <v>0</v>
      </c>
      <c r="AD16">
        <f t="shared" ca="1" si="1"/>
        <v>1</v>
      </c>
      <c r="AE16">
        <f t="shared" ca="1" si="1"/>
        <v>0</v>
      </c>
      <c r="AF16">
        <f t="shared" ca="1" si="1"/>
        <v>0</v>
      </c>
      <c r="AG16">
        <f t="shared" ca="1" si="1"/>
        <v>0</v>
      </c>
    </row>
    <row r="17" spans="2:33" ht="16.5" thickTop="1" thickBot="1" x14ac:dyDescent="0.3">
      <c r="AA17" t="s">
        <v>31</v>
      </c>
      <c r="AB17">
        <f t="shared" ca="1" si="2"/>
        <v>2</v>
      </c>
      <c r="AC17">
        <f t="shared" ca="1" si="1"/>
        <v>0</v>
      </c>
      <c r="AD17">
        <f t="shared" ca="1" si="1"/>
        <v>1</v>
      </c>
      <c r="AE17">
        <f t="shared" ca="1" si="1"/>
        <v>0</v>
      </c>
      <c r="AF17">
        <f t="shared" ca="1" si="1"/>
        <v>1</v>
      </c>
      <c r="AG17">
        <f t="shared" ca="1" si="1"/>
        <v>0</v>
      </c>
    </row>
    <row r="18" spans="2:33" ht="20.25" thickTop="1" thickBot="1" x14ac:dyDescent="0.3">
      <c r="B18" s="1" t="s">
        <v>35</v>
      </c>
      <c r="C18" s="2"/>
      <c r="E18" s="12">
        <f ca="1">LOOKUP(B18,$AA$3:$AB$28)</f>
        <v>0</v>
      </c>
      <c r="G18" s="1" t="s">
        <v>36</v>
      </c>
      <c r="H18" s="2"/>
      <c r="J18" s="12">
        <f ca="1">LOOKUP(G18,$AA$3:$AB$28)</f>
        <v>0</v>
      </c>
      <c r="L18" s="1" t="s">
        <v>37</v>
      </c>
      <c r="M18" s="2"/>
      <c r="O18" s="12">
        <f ca="1">LOOKUP(L18,$AA$3:$AB$28)</f>
        <v>0</v>
      </c>
      <c r="Q18" s="1" t="s">
        <v>25</v>
      </c>
      <c r="R18" s="2"/>
      <c r="T18" s="12">
        <f ca="1">LOOKUP(Q18,$AA$3:$AB$28)</f>
        <v>1</v>
      </c>
      <c r="V18" s="1" t="s">
        <v>31</v>
      </c>
      <c r="W18" s="2"/>
      <c r="Y18" s="12">
        <f ca="1">LOOKUP(V18,$AA$3:$AB$28)</f>
        <v>2</v>
      </c>
      <c r="AA18" t="s">
        <v>44</v>
      </c>
      <c r="AB18">
        <f t="shared" ca="1" si="2"/>
        <v>0</v>
      </c>
      <c r="AC18">
        <f t="shared" ca="1" si="1"/>
        <v>0</v>
      </c>
      <c r="AD18">
        <f t="shared" ca="1" si="1"/>
        <v>0</v>
      </c>
      <c r="AE18">
        <f t="shared" ca="1" si="1"/>
        <v>0</v>
      </c>
      <c r="AF18">
        <f t="shared" ca="1" si="1"/>
        <v>0</v>
      </c>
      <c r="AG18">
        <f t="shared" ca="1" si="1"/>
        <v>0</v>
      </c>
    </row>
    <row r="19" spans="2:33" ht="15.75" thickTop="1" x14ac:dyDescent="0.25">
      <c r="B19" s="3" t="s">
        <v>4</v>
      </c>
      <c r="C19" s="4" t="s">
        <v>5</v>
      </c>
      <c r="D19" s="4" t="s">
        <v>6</v>
      </c>
      <c r="E19" s="5" t="s">
        <v>7</v>
      </c>
      <c r="G19" s="3" t="s">
        <v>4</v>
      </c>
      <c r="H19" s="4" t="s">
        <v>5</v>
      </c>
      <c r="I19" s="4" t="s">
        <v>6</v>
      </c>
      <c r="J19" s="5" t="s">
        <v>7</v>
      </c>
      <c r="L19" s="3" t="s">
        <v>4</v>
      </c>
      <c r="M19" s="4" t="s">
        <v>5</v>
      </c>
      <c r="N19" s="4" t="s">
        <v>6</v>
      </c>
      <c r="O19" s="5" t="s">
        <v>7</v>
      </c>
      <c r="Q19" s="3" t="s">
        <v>4</v>
      </c>
      <c r="R19" s="4" t="s">
        <v>5</v>
      </c>
      <c r="S19" s="4" t="s">
        <v>6</v>
      </c>
      <c r="T19" s="5" t="s">
        <v>7</v>
      </c>
      <c r="V19" s="3" t="s">
        <v>4</v>
      </c>
      <c r="W19" s="4" t="s">
        <v>5</v>
      </c>
      <c r="X19" s="4" t="s">
        <v>6</v>
      </c>
      <c r="Y19" s="5" t="s">
        <v>7</v>
      </c>
      <c r="AA19" t="s">
        <v>41</v>
      </c>
      <c r="AB19">
        <f t="shared" ca="1" si="2"/>
        <v>2</v>
      </c>
      <c r="AC19">
        <f t="shared" ca="1" si="1"/>
        <v>0</v>
      </c>
      <c r="AD19">
        <f t="shared" ca="1" si="1"/>
        <v>0</v>
      </c>
      <c r="AE19">
        <f t="shared" ca="1" si="1"/>
        <v>1</v>
      </c>
      <c r="AF19">
        <f t="shared" ca="1" si="1"/>
        <v>1</v>
      </c>
      <c r="AG19">
        <f t="shared" ca="1" si="1"/>
        <v>0</v>
      </c>
    </row>
    <row r="20" spans="2:33" x14ac:dyDescent="0.25">
      <c r="B20" s="6"/>
      <c r="C20" s="7"/>
      <c r="D20" s="7"/>
      <c r="E20" s="8"/>
      <c r="G20" s="6" t="s">
        <v>1</v>
      </c>
      <c r="H20" s="7" t="s">
        <v>8</v>
      </c>
      <c r="I20" s="7"/>
      <c r="J20" s="8"/>
      <c r="L20" s="6" t="s">
        <v>1</v>
      </c>
      <c r="M20" s="7" t="s">
        <v>8</v>
      </c>
      <c r="N20" s="7"/>
      <c r="O20" s="8"/>
      <c r="Q20" s="6" t="s">
        <v>1</v>
      </c>
      <c r="R20" s="7" t="s">
        <v>8</v>
      </c>
      <c r="S20" s="7"/>
      <c r="T20" s="8"/>
      <c r="V20" s="6" t="s">
        <v>1</v>
      </c>
      <c r="W20" s="7" t="s">
        <v>8</v>
      </c>
      <c r="X20" s="7"/>
      <c r="Y20" s="8"/>
      <c r="AA20" t="s">
        <v>47</v>
      </c>
      <c r="AB20">
        <f t="shared" ca="1" si="2"/>
        <v>0</v>
      </c>
      <c r="AC20">
        <f t="shared" ca="1" si="1"/>
        <v>0</v>
      </c>
      <c r="AD20">
        <f t="shared" ca="1" si="1"/>
        <v>0</v>
      </c>
      <c r="AE20">
        <f t="shared" ca="1" si="1"/>
        <v>0</v>
      </c>
      <c r="AF20">
        <f t="shared" ca="1" si="1"/>
        <v>0</v>
      </c>
      <c r="AG20">
        <f t="shared" ca="1" si="1"/>
        <v>0</v>
      </c>
    </row>
    <row r="21" spans="2:33" x14ac:dyDescent="0.25">
      <c r="B21" s="6"/>
      <c r="C21" s="7"/>
      <c r="D21" s="7"/>
      <c r="E21" s="8"/>
      <c r="G21" s="6" t="s">
        <v>29</v>
      </c>
      <c r="H21" s="7" t="s">
        <v>9</v>
      </c>
      <c r="I21" s="18" t="s">
        <v>15</v>
      </c>
      <c r="J21" s="19" t="s">
        <v>1</v>
      </c>
      <c r="L21" s="6" t="s">
        <v>29</v>
      </c>
      <c r="M21" s="7" t="s">
        <v>9</v>
      </c>
      <c r="N21" s="18" t="s">
        <v>15</v>
      </c>
      <c r="O21" s="19" t="s">
        <v>1</v>
      </c>
      <c r="Q21" s="6"/>
      <c r="R21" s="7"/>
      <c r="S21" s="7"/>
      <c r="T21" s="8"/>
      <c r="V21" s="6" t="s">
        <v>43</v>
      </c>
      <c r="W21" s="7" t="s">
        <v>9</v>
      </c>
      <c r="X21" s="18" t="s">
        <v>0</v>
      </c>
      <c r="Y21" s="8" t="s">
        <v>1</v>
      </c>
      <c r="AA21" s="17" t="s">
        <v>48</v>
      </c>
      <c r="AB21">
        <f t="shared" ca="1" si="2"/>
        <v>0</v>
      </c>
      <c r="AC21">
        <f t="shared" ca="1" si="1"/>
        <v>0</v>
      </c>
      <c r="AD21">
        <f t="shared" ca="1" si="1"/>
        <v>0</v>
      </c>
      <c r="AE21">
        <f t="shared" ca="1" si="1"/>
        <v>0</v>
      </c>
      <c r="AF21">
        <f t="shared" ca="1" si="1"/>
        <v>0</v>
      </c>
      <c r="AG21">
        <f t="shared" ca="1" si="1"/>
        <v>0</v>
      </c>
    </row>
    <row r="22" spans="2:33" x14ac:dyDescent="0.25">
      <c r="B22" s="6"/>
      <c r="C22" s="7"/>
      <c r="D22" s="7"/>
      <c r="E22" s="8"/>
      <c r="G22" s="6"/>
      <c r="H22" s="7"/>
      <c r="I22" s="7"/>
      <c r="J22" s="8"/>
      <c r="L22" s="6" t="s">
        <v>38</v>
      </c>
      <c r="M22" s="7" t="s">
        <v>9</v>
      </c>
      <c r="N22" s="18" t="s">
        <v>32</v>
      </c>
      <c r="O22" s="19" t="s">
        <v>1</v>
      </c>
      <c r="Q22" s="6"/>
      <c r="R22" s="7"/>
      <c r="S22" s="7"/>
      <c r="T22" s="8"/>
      <c r="V22" s="6" t="s">
        <v>28</v>
      </c>
      <c r="W22" s="7" t="s">
        <v>9</v>
      </c>
      <c r="X22" s="18" t="s">
        <v>2</v>
      </c>
      <c r="Y22" s="8" t="s">
        <v>1</v>
      </c>
      <c r="AA22" s="17" t="s">
        <v>26</v>
      </c>
      <c r="AB22">
        <f t="shared" ca="1" si="2"/>
        <v>1</v>
      </c>
      <c r="AC22">
        <f t="shared" ca="1" si="1"/>
        <v>0</v>
      </c>
      <c r="AD22">
        <f t="shared" ca="1" si="1"/>
        <v>1</v>
      </c>
      <c r="AE22">
        <f t="shared" ca="1" si="1"/>
        <v>0</v>
      </c>
      <c r="AF22">
        <f t="shared" ca="1" si="1"/>
        <v>0</v>
      </c>
      <c r="AG22">
        <f t="shared" ca="1" si="1"/>
        <v>0</v>
      </c>
    </row>
    <row r="23" spans="2:33" x14ac:dyDescent="0.25">
      <c r="B23" s="6"/>
      <c r="C23" s="7"/>
      <c r="D23" s="7"/>
      <c r="E23" s="8"/>
      <c r="G23" s="6"/>
      <c r="H23" s="7"/>
      <c r="I23" s="7"/>
      <c r="J23" s="8"/>
      <c r="L23" s="6" t="s">
        <v>39</v>
      </c>
      <c r="M23" s="7" t="s">
        <v>9</v>
      </c>
      <c r="N23" s="18" t="s">
        <v>41</v>
      </c>
      <c r="O23" s="19" t="s">
        <v>1</v>
      </c>
      <c r="Q23" s="6"/>
      <c r="R23" s="7"/>
      <c r="S23" s="7"/>
      <c r="T23" s="8"/>
      <c r="V23" s="6"/>
      <c r="W23" s="7"/>
      <c r="X23" s="7"/>
      <c r="Y23" s="8"/>
      <c r="AB23" t="str">
        <f t="shared" si="2"/>
        <v/>
      </c>
      <c r="AC23" t="str">
        <f t="shared" ca="1" si="1"/>
        <v/>
      </c>
      <c r="AD23" t="str">
        <f t="shared" ca="1" si="1"/>
        <v/>
      </c>
      <c r="AE23" t="str">
        <f t="shared" ca="1" si="1"/>
        <v/>
      </c>
      <c r="AF23" t="str">
        <f t="shared" ca="1" si="1"/>
        <v/>
      </c>
      <c r="AG23" t="str">
        <f t="shared" ca="1" si="1"/>
        <v/>
      </c>
    </row>
    <row r="24" spans="2:33" ht="15.75" thickBot="1" x14ac:dyDescent="0.3">
      <c r="B24" s="9"/>
      <c r="C24" s="10"/>
      <c r="D24" s="10"/>
      <c r="E24" s="11"/>
      <c r="G24" s="9"/>
      <c r="H24" s="10"/>
      <c r="I24" s="10"/>
      <c r="J24" s="11"/>
      <c r="L24" s="9" t="s">
        <v>40</v>
      </c>
      <c r="M24" s="10" t="s">
        <v>9</v>
      </c>
      <c r="N24" s="22" t="s">
        <v>42</v>
      </c>
      <c r="O24" s="23" t="s">
        <v>1</v>
      </c>
      <c r="Q24" s="9"/>
      <c r="R24" s="10"/>
      <c r="S24" s="10"/>
      <c r="T24" s="11"/>
      <c r="V24" s="9"/>
      <c r="W24" s="10"/>
      <c r="X24" s="10"/>
      <c r="Y24" s="11"/>
      <c r="AB24" t="str">
        <f t="shared" si="2"/>
        <v/>
      </c>
      <c r="AC24" t="str">
        <f t="shared" ca="1" si="1"/>
        <v/>
      </c>
      <c r="AD24" t="str">
        <f t="shared" ca="1" si="1"/>
        <v/>
      </c>
      <c r="AE24" t="str">
        <f t="shared" ca="1" si="1"/>
        <v/>
      </c>
      <c r="AF24" t="str">
        <f t="shared" ca="1" si="1"/>
        <v/>
      </c>
      <c r="AG24" t="str">
        <f t="shared" ca="1" si="1"/>
        <v/>
      </c>
    </row>
    <row r="25" spans="2:33" ht="16.5" thickTop="1" thickBot="1" x14ac:dyDescent="0.3">
      <c r="AB25" t="str">
        <f t="shared" si="2"/>
        <v/>
      </c>
      <c r="AC25" t="str">
        <f t="shared" ref="AC25:AG40" ca="1" si="3">IF($AA25="","",COUNTIFS(INDIRECT(AC$2),$AA25))</f>
        <v/>
      </c>
      <c r="AD25" t="str">
        <f t="shared" ca="1" si="3"/>
        <v/>
      </c>
      <c r="AE25" t="str">
        <f t="shared" ca="1" si="3"/>
        <v/>
      </c>
      <c r="AF25" t="str">
        <f t="shared" ca="1" si="3"/>
        <v/>
      </c>
      <c r="AG25" t="str">
        <f t="shared" ca="1" si="3"/>
        <v/>
      </c>
    </row>
    <row r="26" spans="2:33" ht="20.25" thickTop="1" thickBot="1" x14ac:dyDescent="0.3">
      <c r="B26" s="1" t="s">
        <v>44</v>
      </c>
      <c r="C26" s="2"/>
      <c r="E26" s="12">
        <f ca="1">LOOKUP(B26,$AA$3:$AB$28)</f>
        <v>0</v>
      </c>
      <c r="G26" s="1" t="s">
        <v>41</v>
      </c>
      <c r="H26" s="2"/>
      <c r="J26" s="12">
        <f ca="1">LOOKUP(G26,$AA$3:$AB$28)</f>
        <v>2</v>
      </c>
      <c r="L26" s="1" t="s">
        <v>47</v>
      </c>
      <c r="M26" s="2"/>
      <c r="O26" s="12">
        <f ca="1">LOOKUP(L26,$AA$3:$AB$28)</f>
        <v>0</v>
      </c>
      <c r="Q26" s="1" t="s">
        <v>48</v>
      </c>
      <c r="R26" s="2"/>
      <c r="T26" s="12">
        <f ca="1">LOOKUP(Q26,$AA$3:$AB$28)</f>
        <v>0</v>
      </c>
      <c r="V26" s="1" t="s">
        <v>26</v>
      </c>
      <c r="W26" s="2"/>
      <c r="Y26" s="12">
        <f ca="1">LOOKUP(V26,$AA$3:$AB$28)</f>
        <v>1</v>
      </c>
      <c r="AB26" t="str">
        <f t="shared" si="2"/>
        <v/>
      </c>
      <c r="AC26" t="str">
        <f t="shared" ca="1" si="3"/>
        <v/>
      </c>
      <c r="AD26" t="str">
        <f t="shared" ca="1" si="3"/>
        <v/>
      </c>
      <c r="AE26" t="str">
        <f t="shared" ca="1" si="3"/>
        <v/>
      </c>
      <c r="AF26" t="str">
        <f t="shared" ca="1" si="3"/>
        <v/>
      </c>
      <c r="AG26" t="str">
        <f t="shared" ca="1" si="3"/>
        <v/>
      </c>
    </row>
    <row r="27" spans="2:33" ht="15.75" thickTop="1" x14ac:dyDescent="0.25">
      <c r="B27" s="3" t="s">
        <v>4</v>
      </c>
      <c r="C27" s="4" t="s">
        <v>5</v>
      </c>
      <c r="D27" s="4" t="s">
        <v>6</v>
      </c>
      <c r="E27" s="5" t="s">
        <v>7</v>
      </c>
      <c r="G27" s="3" t="s">
        <v>4</v>
      </c>
      <c r="H27" s="4" t="s">
        <v>5</v>
      </c>
      <c r="I27" s="4" t="s">
        <v>6</v>
      </c>
      <c r="J27" s="5" t="s">
        <v>7</v>
      </c>
      <c r="L27" s="3" t="s">
        <v>4</v>
      </c>
      <c r="M27" s="4" t="s">
        <v>5</v>
      </c>
      <c r="N27" s="4" t="s">
        <v>6</v>
      </c>
      <c r="O27" s="5" t="s">
        <v>7</v>
      </c>
      <c r="Q27" s="3" t="s">
        <v>4</v>
      </c>
      <c r="R27" s="4" t="s">
        <v>5</v>
      </c>
      <c r="S27" s="4" t="s">
        <v>6</v>
      </c>
      <c r="T27" s="5" t="s">
        <v>7</v>
      </c>
      <c r="V27" s="3" t="s">
        <v>4</v>
      </c>
      <c r="W27" s="4" t="s">
        <v>5</v>
      </c>
      <c r="X27" s="4" t="s">
        <v>6</v>
      </c>
      <c r="Y27" s="5" t="s">
        <v>7</v>
      </c>
      <c r="AB27" t="str">
        <f t="shared" si="2"/>
        <v/>
      </c>
      <c r="AC27" t="str">
        <f t="shared" ca="1" si="3"/>
        <v/>
      </c>
      <c r="AD27" t="str">
        <f t="shared" ca="1" si="3"/>
        <v/>
      </c>
      <c r="AE27" t="str">
        <f t="shared" ca="1" si="3"/>
        <v/>
      </c>
      <c r="AF27" t="str">
        <f t="shared" ca="1" si="3"/>
        <v/>
      </c>
      <c r="AG27" t="str">
        <f t="shared" ca="1" si="3"/>
        <v/>
      </c>
    </row>
    <row r="28" spans="2:33" x14ac:dyDescent="0.25">
      <c r="B28" s="6" t="s">
        <v>1</v>
      </c>
      <c r="C28" s="7" t="s">
        <v>8</v>
      </c>
      <c r="D28" s="7"/>
      <c r="E28" s="8"/>
      <c r="G28" s="6" t="s">
        <v>1</v>
      </c>
      <c r="H28" s="7" t="s">
        <v>8</v>
      </c>
      <c r="I28" s="7"/>
      <c r="J28" s="8"/>
      <c r="L28" s="6" t="s">
        <v>1</v>
      </c>
      <c r="M28" s="7" t="s">
        <v>8</v>
      </c>
      <c r="N28" s="7"/>
      <c r="O28" s="8"/>
      <c r="Q28" s="6" t="s">
        <v>1</v>
      </c>
      <c r="R28" s="7" t="s">
        <v>8</v>
      </c>
      <c r="S28" s="7"/>
      <c r="T28" s="8"/>
      <c r="V28" s="6" t="s">
        <v>1</v>
      </c>
      <c r="W28" s="7" t="s">
        <v>8</v>
      </c>
      <c r="X28" s="7"/>
      <c r="Y28" s="8"/>
      <c r="AB28" t="str">
        <f t="shared" si="2"/>
        <v/>
      </c>
      <c r="AC28" t="str">
        <f t="shared" ca="1" si="3"/>
        <v/>
      </c>
      <c r="AD28" t="str">
        <f t="shared" ca="1" si="3"/>
        <v/>
      </c>
      <c r="AE28" t="str">
        <f t="shared" ca="1" si="3"/>
        <v/>
      </c>
      <c r="AF28" t="str">
        <f t="shared" ca="1" si="3"/>
        <v/>
      </c>
      <c r="AG28" t="str">
        <f t="shared" ca="1" si="3"/>
        <v/>
      </c>
    </row>
    <row r="29" spans="2:33" x14ac:dyDescent="0.25">
      <c r="B29" s="6" t="s">
        <v>45</v>
      </c>
      <c r="C29" s="7" t="s">
        <v>9</v>
      </c>
      <c r="D29" s="18" t="s">
        <v>13</v>
      </c>
      <c r="E29" s="19" t="s">
        <v>1</v>
      </c>
      <c r="G29" s="6" t="s">
        <v>28</v>
      </c>
      <c r="H29" s="7" t="s">
        <v>9</v>
      </c>
      <c r="I29" s="18" t="s">
        <v>2</v>
      </c>
      <c r="J29" s="19" t="s">
        <v>1</v>
      </c>
      <c r="L29" s="6" t="s">
        <v>29</v>
      </c>
      <c r="M29" s="7" t="s">
        <v>9</v>
      </c>
      <c r="N29" s="18" t="s">
        <v>15</v>
      </c>
      <c r="O29" s="19" t="s">
        <v>1</v>
      </c>
      <c r="Q29" s="6" t="s">
        <v>34</v>
      </c>
      <c r="R29" s="7" t="s">
        <v>9</v>
      </c>
      <c r="S29" s="18" t="s">
        <v>33</v>
      </c>
      <c r="T29" s="19" t="s">
        <v>1</v>
      </c>
      <c r="V29" s="6"/>
      <c r="W29" s="7"/>
      <c r="X29" s="7"/>
      <c r="Y29" s="8"/>
      <c r="AB29" t="str">
        <f t="shared" si="2"/>
        <v/>
      </c>
      <c r="AC29" t="str">
        <f t="shared" ca="1" si="3"/>
        <v/>
      </c>
      <c r="AD29" t="str">
        <f t="shared" ca="1" si="3"/>
        <v/>
      </c>
      <c r="AE29" t="str">
        <f t="shared" ca="1" si="3"/>
        <v/>
      </c>
      <c r="AF29" t="str">
        <f t="shared" ca="1" si="3"/>
        <v/>
      </c>
      <c r="AG29" t="str">
        <f t="shared" ca="1" si="3"/>
        <v/>
      </c>
    </row>
    <row r="30" spans="2:33" x14ac:dyDescent="0.25">
      <c r="B30" s="6" t="s">
        <v>30</v>
      </c>
      <c r="C30" s="7" t="s">
        <v>9</v>
      </c>
      <c r="D30" s="18" t="s">
        <v>46</v>
      </c>
      <c r="E30" s="19" t="s">
        <v>1</v>
      </c>
      <c r="G30" s="6" t="s">
        <v>30</v>
      </c>
      <c r="H30" s="7" t="s">
        <v>9</v>
      </c>
      <c r="I30" s="18" t="s">
        <v>31</v>
      </c>
      <c r="J30" s="19" t="s">
        <v>1</v>
      </c>
      <c r="L30" s="6" t="s">
        <v>39</v>
      </c>
      <c r="M30" s="7" t="s">
        <v>9</v>
      </c>
      <c r="N30" s="18" t="s">
        <v>41</v>
      </c>
      <c r="O30" s="19" t="s">
        <v>1</v>
      </c>
      <c r="Q30" s="6" t="s">
        <v>49</v>
      </c>
      <c r="R30" s="7" t="s">
        <v>9</v>
      </c>
      <c r="S30" s="18" t="s">
        <v>50</v>
      </c>
      <c r="T30" s="19" t="s">
        <v>1</v>
      </c>
      <c r="V30" s="6"/>
      <c r="W30" s="7"/>
      <c r="X30" s="7"/>
      <c r="Y30" s="8"/>
      <c r="AB30" t="str">
        <f t="shared" si="2"/>
        <v/>
      </c>
      <c r="AC30" t="str">
        <f t="shared" ca="1" si="3"/>
        <v/>
      </c>
      <c r="AD30" t="str">
        <f t="shared" ca="1" si="3"/>
        <v/>
      </c>
      <c r="AE30" t="str">
        <f t="shared" ca="1" si="3"/>
        <v/>
      </c>
      <c r="AF30" t="str">
        <f t="shared" ca="1" si="3"/>
        <v/>
      </c>
      <c r="AG30" t="str">
        <f t="shared" ca="1" si="3"/>
        <v/>
      </c>
    </row>
    <row r="31" spans="2:33" x14ac:dyDescent="0.25">
      <c r="B31" s="6"/>
      <c r="C31" s="7"/>
      <c r="D31" s="7"/>
      <c r="E31" s="8"/>
      <c r="G31" s="6"/>
      <c r="H31" s="7"/>
      <c r="I31" s="7"/>
      <c r="J31" s="8"/>
      <c r="L31" s="6"/>
      <c r="M31" s="7"/>
      <c r="N31" s="7"/>
      <c r="O31" s="8"/>
      <c r="Q31" s="6"/>
      <c r="R31" s="7"/>
      <c r="S31" s="7"/>
      <c r="T31" s="8"/>
      <c r="V31" s="6"/>
      <c r="W31" s="7"/>
      <c r="X31" s="7"/>
      <c r="Y31" s="8"/>
      <c r="AB31" t="str">
        <f t="shared" si="2"/>
        <v/>
      </c>
      <c r="AC31" t="str">
        <f t="shared" ca="1" si="3"/>
        <v/>
      </c>
      <c r="AD31" t="str">
        <f t="shared" ca="1" si="3"/>
        <v/>
      </c>
      <c r="AE31" t="str">
        <f t="shared" ca="1" si="3"/>
        <v/>
      </c>
      <c r="AF31" t="str">
        <f t="shared" ca="1" si="3"/>
        <v/>
      </c>
      <c r="AG31" t="str">
        <f t="shared" ca="1" si="3"/>
        <v/>
      </c>
    </row>
    <row r="32" spans="2:33" ht="15.75" thickBot="1" x14ac:dyDescent="0.3">
      <c r="B32" s="9"/>
      <c r="C32" s="10"/>
      <c r="D32" s="10"/>
      <c r="E32" s="11"/>
      <c r="G32" s="9"/>
      <c r="H32" s="10"/>
      <c r="I32" s="10"/>
      <c r="J32" s="11"/>
      <c r="L32" s="9"/>
      <c r="M32" s="10"/>
      <c r="N32" s="10"/>
      <c r="O32" s="11"/>
      <c r="Q32" s="9"/>
      <c r="R32" s="10"/>
      <c r="S32" s="10"/>
      <c r="T32" s="11"/>
      <c r="V32" s="9"/>
      <c r="W32" s="10"/>
      <c r="X32" s="10"/>
      <c r="Y32" s="11"/>
      <c r="AB32" t="str">
        <f t="shared" si="2"/>
        <v/>
      </c>
      <c r="AC32" t="str">
        <f t="shared" ca="1" si="3"/>
        <v/>
      </c>
      <c r="AD32" t="str">
        <f t="shared" ca="1" si="3"/>
        <v/>
      </c>
      <c r="AE32" t="str">
        <f t="shared" ca="1" si="3"/>
        <v/>
      </c>
      <c r="AF32" t="str">
        <f t="shared" ca="1" si="3"/>
        <v/>
      </c>
      <c r="AG32" t="str">
        <f t="shared" ca="1" si="3"/>
        <v/>
      </c>
    </row>
    <row r="33" spans="2:33" ht="16.5" thickTop="1" thickBot="1" x14ac:dyDescent="0.3">
      <c r="AB33" t="str">
        <f t="shared" si="2"/>
        <v/>
      </c>
      <c r="AC33" t="str">
        <f t="shared" ca="1" si="3"/>
        <v/>
      </c>
      <c r="AD33" t="str">
        <f t="shared" ca="1" si="3"/>
        <v/>
      </c>
      <c r="AE33" t="str">
        <f t="shared" ca="1" si="3"/>
        <v/>
      </c>
      <c r="AF33" t="str">
        <f t="shared" ca="1" si="3"/>
        <v/>
      </c>
      <c r="AG33" t="str">
        <f t="shared" ca="1" si="3"/>
        <v/>
      </c>
    </row>
    <row r="34" spans="2:33" ht="20.25" thickTop="1" thickBot="1" x14ac:dyDescent="0.3">
      <c r="B34" s="1" t="s">
        <v>51</v>
      </c>
      <c r="C34" s="2"/>
      <c r="E34" s="12">
        <f ca="1">LOOKUP(B34,$AA$3:$AB$28)</f>
        <v>1</v>
      </c>
      <c r="G34" s="1" t="s">
        <v>50</v>
      </c>
      <c r="H34" s="2"/>
      <c r="J34" s="12">
        <f ca="1">LOOKUP(G34,$AA$3:$AB$28)</f>
        <v>1</v>
      </c>
      <c r="L34" s="1"/>
      <c r="M34" s="2"/>
      <c r="O34" s="12" t="e">
        <f>LOOKUP(L34,$AA$3:$AB$28)</f>
        <v>#N/A</v>
      </c>
      <c r="Q34" s="1"/>
      <c r="R34" s="2"/>
      <c r="T34" s="12" t="e">
        <f>LOOKUP(Q34,$AA$3:$AB$28)</f>
        <v>#N/A</v>
      </c>
      <c r="V34" s="1"/>
      <c r="W34" s="2"/>
      <c r="Y34" s="12" t="e">
        <f>LOOKUP(V34,$AA$3:$AB$28)</f>
        <v>#N/A</v>
      </c>
      <c r="AB34" t="str">
        <f t="shared" si="2"/>
        <v/>
      </c>
      <c r="AC34" t="str">
        <f t="shared" ca="1" si="3"/>
        <v/>
      </c>
      <c r="AD34" t="str">
        <f t="shared" ca="1" si="3"/>
        <v/>
      </c>
      <c r="AE34" t="str">
        <f t="shared" ca="1" si="3"/>
        <v/>
      </c>
      <c r="AF34" t="str">
        <f t="shared" ca="1" si="3"/>
        <v/>
      </c>
      <c r="AG34" t="str">
        <f t="shared" ca="1" si="3"/>
        <v/>
      </c>
    </row>
    <row r="35" spans="2:33" ht="15.75" thickTop="1" x14ac:dyDescent="0.25">
      <c r="B35" s="3" t="s">
        <v>4</v>
      </c>
      <c r="C35" s="4" t="s">
        <v>5</v>
      </c>
      <c r="D35" s="4" t="s">
        <v>6</v>
      </c>
      <c r="E35" s="5" t="s">
        <v>7</v>
      </c>
      <c r="G35" s="3" t="s">
        <v>4</v>
      </c>
      <c r="H35" s="4" t="s">
        <v>5</v>
      </c>
      <c r="I35" s="4" t="s">
        <v>6</v>
      </c>
      <c r="J35" s="5" t="s">
        <v>7</v>
      </c>
      <c r="L35" s="3" t="s">
        <v>4</v>
      </c>
      <c r="M35" s="4" t="s">
        <v>5</v>
      </c>
      <c r="N35" s="4" t="s">
        <v>6</v>
      </c>
      <c r="O35" s="5" t="s">
        <v>7</v>
      </c>
      <c r="Q35" s="3" t="s">
        <v>4</v>
      </c>
      <c r="R35" s="4" t="s">
        <v>5</v>
      </c>
      <c r="S35" s="4" t="s">
        <v>6</v>
      </c>
      <c r="T35" s="5" t="s">
        <v>7</v>
      </c>
      <c r="V35" s="3" t="s">
        <v>4</v>
      </c>
      <c r="W35" s="4" t="s">
        <v>5</v>
      </c>
      <c r="X35" s="4" t="s">
        <v>6</v>
      </c>
      <c r="Y35" s="5" t="s">
        <v>7</v>
      </c>
      <c r="AB35" t="str">
        <f t="shared" si="2"/>
        <v/>
      </c>
      <c r="AC35" t="str">
        <f t="shared" ca="1" si="3"/>
        <v/>
      </c>
      <c r="AD35" t="str">
        <f t="shared" ca="1" si="3"/>
        <v/>
      </c>
      <c r="AE35" t="str">
        <f t="shared" ca="1" si="3"/>
        <v/>
      </c>
      <c r="AF35" t="str">
        <f t="shared" ca="1" si="3"/>
        <v/>
      </c>
      <c r="AG35" t="str">
        <f t="shared" ca="1" si="3"/>
        <v/>
      </c>
    </row>
    <row r="36" spans="2:33" x14ac:dyDescent="0.25">
      <c r="B36" s="6" t="s">
        <v>1</v>
      </c>
      <c r="C36" s="7" t="s">
        <v>8</v>
      </c>
      <c r="D36" s="7"/>
      <c r="E36" s="8"/>
      <c r="G36" s="6" t="s">
        <v>1</v>
      </c>
      <c r="H36" s="7" t="s">
        <v>8</v>
      </c>
      <c r="I36" s="7"/>
      <c r="J36" s="8"/>
      <c r="L36" s="6" t="s">
        <v>1</v>
      </c>
      <c r="M36" s="7" t="s">
        <v>8</v>
      </c>
      <c r="N36" s="7"/>
      <c r="O36" s="8"/>
      <c r="Q36" s="6" t="s">
        <v>1</v>
      </c>
      <c r="R36" s="7" t="s">
        <v>8</v>
      </c>
      <c r="S36" s="7"/>
      <c r="T36" s="8"/>
      <c r="V36" s="6" t="s">
        <v>1</v>
      </c>
      <c r="W36" s="7" t="s">
        <v>8</v>
      </c>
      <c r="X36" s="7"/>
      <c r="Y36" s="8"/>
      <c r="AB36" t="str">
        <f t="shared" si="2"/>
        <v/>
      </c>
      <c r="AC36" t="str">
        <f t="shared" ca="1" si="3"/>
        <v/>
      </c>
      <c r="AD36" t="str">
        <f t="shared" ca="1" si="3"/>
        <v/>
      </c>
      <c r="AE36" t="str">
        <f t="shared" ca="1" si="3"/>
        <v/>
      </c>
      <c r="AF36" t="str">
        <f t="shared" ca="1" si="3"/>
        <v/>
      </c>
      <c r="AG36" t="str">
        <f t="shared" ca="1" si="3"/>
        <v/>
      </c>
    </row>
    <row r="37" spans="2:33" x14ac:dyDescent="0.25">
      <c r="B37" s="6"/>
      <c r="C37" s="7"/>
      <c r="D37" s="7"/>
      <c r="E37" s="8"/>
      <c r="G37" s="6"/>
      <c r="H37" s="7"/>
      <c r="I37" s="7"/>
      <c r="J37" s="8"/>
      <c r="L37" s="6"/>
      <c r="M37" s="7"/>
      <c r="N37" s="7"/>
      <c r="O37" s="8"/>
      <c r="Q37" s="6"/>
      <c r="R37" s="7"/>
      <c r="S37" s="7"/>
      <c r="T37" s="8"/>
      <c r="V37" s="6"/>
      <c r="W37" s="7"/>
      <c r="X37" s="7"/>
      <c r="Y37" s="8"/>
      <c r="AB37" t="str">
        <f t="shared" si="2"/>
        <v/>
      </c>
      <c r="AC37" t="str">
        <f t="shared" ca="1" si="3"/>
        <v/>
      </c>
      <c r="AD37" t="str">
        <f t="shared" ca="1" si="3"/>
        <v/>
      </c>
      <c r="AE37" t="str">
        <f t="shared" ca="1" si="3"/>
        <v/>
      </c>
      <c r="AF37" t="str">
        <f t="shared" ca="1" si="3"/>
        <v/>
      </c>
      <c r="AG37" t="str">
        <f t="shared" ca="1" si="3"/>
        <v/>
      </c>
    </row>
    <row r="38" spans="2:33" x14ac:dyDescent="0.25">
      <c r="B38" s="6"/>
      <c r="C38" s="7"/>
      <c r="D38" s="7"/>
      <c r="E38" s="8"/>
      <c r="G38" s="6"/>
      <c r="H38" s="7"/>
      <c r="I38" s="7"/>
      <c r="J38" s="8"/>
      <c r="L38" s="6"/>
      <c r="M38" s="7"/>
      <c r="N38" s="7"/>
      <c r="O38" s="8"/>
      <c r="Q38" s="6"/>
      <c r="R38" s="7"/>
      <c r="S38" s="7"/>
      <c r="T38" s="8"/>
      <c r="V38" s="6"/>
      <c r="W38" s="7"/>
      <c r="X38" s="7"/>
      <c r="Y38" s="8"/>
      <c r="AB38" t="str">
        <f t="shared" si="2"/>
        <v/>
      </c>
      <c r="AC38" t="str">
        <f t="shared" ca="1" si="3"/>
        <v/>
      </c>
      <c r="AD38" t="str">
        <f t="shared" ca="1" si="3"/>
        <v/>
      </c>
      <c r="AE38" t="str">
        <f t="shared" ca="1" si="3"/>
        <v/>
      </c>
      <c r="AF38" t="str">
        <f t="shared" ca="1" si="3"/>
        <v/>
      </c>
      <c r="AG38" t="str">
        <f t="shared" ca="1" si="3"/>
        <v/>
      </c>
    </row>
    <row r="39" spans="2:33" x14ac:dyDescent="0.25">
      <c r="B39" s="6"/>
      <c r="C39" s="7"/>
      <c r="D39" s="7"/>
      <c r="E39" s="8"/>
      <c r="G39" s="6"/>
      <c r="H39" s="7"/>
      <c r="I39" s="7"/>
      <c r="J39" s="8"/>
      <c r="L39" s="6"/>
      <c r="M39" s="7"/>
      <c r="N39" s="7"/>
      <c r="O39" s="8"/>
      <c r="Q39" s="6"/>
      <c r="R39" s="7"/>
      <c r="S39" s="7"/>
      <c r="T39" s="8"/>
      <c r="V39" s="6"/>
      <c r="W39" s="7"/>
      <c r="X39" s="7"/>
      <c r="Y39" s="8"/>
      <c r="AB39" t="str">
        <f t="shared" si="2"/>
        <v/>
      </c>
      <c r="AC39" t="str">
        <f t="shared" ca="1" si="3"/>
        <v/>
      </c>
      <c r="AD39" t="str">
        <f t="shared" ca="1" si="3"/>
        <v/>
      </c>
      <c r="AE39" t="str">
        <f t="shared" ca="1" si="3"/>
        <v/>
      </c>
      <c r="AF39" t="str">
        <f t="shared" ca="1" si="3"/>
        <v/>
      </c>
      <c r="AG39" t="str">
        <f t="shared" ca="1" si="3"/>
        <v/>
      </c>
    </row>
    <row r="40" spans="2:33" ht="15.75" thickBot="1" x14ac:dyDescent="0.3">
      <c r="B40" s="9"/>
      <c r="C40" s="10"/>
      <c r="D40" s="10"/>
      <c r="E40" s="11"/>
      <c r="G40" s="9"/>
      <c r="H40" s="10"/>
      <c r="I40" s="10"/>
      <c r="J40" s="11"/>
      <c r="L40" s="9"/>
      <c r="M40" s="10"/>
      <c r="N40" s="10"/>
      <c r="O40" s="11"/>
      <c r="Q40" s="9"/>
      <c r="R40" s="10"/>
      <c r="S40" s="10"/>
      <c r="T40" s="11"/>
      <c r="V40" s="9"/>
      <c r="W40" s="10"/>
      <c r="X40" s="10"/>
      <c r="Y40" s="11"/>
      <c r="AB40" t="str">
        <f t="shared" si="2"/>
        <v/>
      </c>
      <c r="AC40" t="str">
        <f t="shared" ca="1" si="3"/>
        <v/>
      </c>
      <c r="AD40" t="str">
        <f t="shared" ca="1" si="3"/>
        <v/>
      </c>
      <c r="AE40" t="str">
        <f t="shared" ca="1" si="3"/>
        <v/>
      </c>
      <c r="AF40" t="str">
        <f t="shared" ca="1" si="3"/>
        <v/>
      </c>
      <c r="AG40" t="str">
        <f t="shared" ca="1" si="3"/>
        <v/>
      </c>
    </row>
    <row r="41" spans="2:33" ht="15.75" thickTop="1" x14ac:dyDescent="0.25"/>
  </sheetData>
  <conditionalFormatting sqref="A1:QQ3005">
    <cfRule type="containsText" dxfId="1" priority="1" operator="containsText" text="Foreign">
      <formula>NOT(ISERROR(SEARCH("Foreign",A1)))</formula>
    </cfRule>
    <cfRule type="containsText" dxfId="0" priority="2" operator="containsText" text="Primary">
      <formula>NOT(ISERROR(SEARCH("Primary",A1)))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Herbert Nijkamp</dc:creator>
  <cp:lastModifiedBy>Herbert Nijkamp</cp:lastModifiedBy>
  <dcterms:created xsi:type="dcterms:W3CDTF">2026-01-12T06:45:10Z</dcterms:created>
  <dcterms:modified xsi:type="dcterms:W3CDTF">2026-01-12T12:39:03Z</dcterms:modified>
</cp:coreProperties>
</file>